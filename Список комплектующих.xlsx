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shk\Desktop\Projects\Битва роботов\BOBR\Inventor\"/>
    </mc:Choice>
  </mc:AlternateContent>
  <xr:revisionPtr revIDLastSave="0" documentId="13_ncr:1_{A417DD52-6997-43A7-9BE0-581FE35DC502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G2" i="1"/>
  <c r="G6" i="1"/>
  <c r="G4" i="1"/>
  <c r="G5" i="1"/>
  <c r="G3" i="1"/>
  <c r="G8" i="1" l="1"/>
  <c r="F8" i="1"/>
</calcChain>
</file>

<file path=xl/sharedStrings.xml><?xml version="1.0" encoding="utf-8"?>
<sst xmlns="http://schemas.openxmlformats.org/spreadsheetml/2006/main" count="25" uniqueCount="21">
  <si>
    <t>Приемник</t>
  </si>
  <si>
    <t>Название</t>
  </si>
  <si>
    <t>Количество</t>
  </si>
  <si>
    <t>Цена</t>
  </si>
  <si>
    <t>Ссылка</t>
  </si>
  <si>
    <t>Итоговая цена</t>
  </si>
  <si>
    <t>Мотор + контроллер (спиннер)</t>
  </si>
  <si>
    <t>Мотор + контроллер (колеса)</t>
  </si>
  <si>
    <t>Hobbywings ezrun max5</t>
  </si>
  <si>
    <t>Итоговый вес (кг)</t>
  </si>
  <si>
    <t>Вес (г)</t>
  </si>
  <si>
    <t>Hobbywings ezrun max4</t>
  </si>
  <si>
    <t>клик</t>
  </si>
  <si>
    <t>FlySky Noble NB4 Pro+</t>
  </si>
  <si>
    <t>вес итог</t>
  </si>
  <si>
    <t>цена итог</t>
  </si>
  <si>
    <t>Примечание</t>
  </si>
  <si>
    <t xml:space="preserve"> Radiomaster Zorro Radio Controller</t>
  </si>
  <si>
    <t>Приёмник Radiomaster RP1 v2 nano ELRS 2.4 ГГц</t>
  </si>
  <si>
    <t>Пульт первого пилота</t>
  </si>
  <si>
    <t>Пульт второго пилота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</si>
</sst>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product/apparatura-upravleniya-radiomaster-zorro-versiya-4-v-1-1235295660/" TargetMode="External"/><Relationship Id="rId2" Type="http://schemas.openxmlformats.org/officeDocument/2006/relationships/hyperlink" Target="https://www.all4rc.ru/catalog/beskollektornyye_sistemy/hobbywing-ezrun-max4-hv-70125sd-560kv-beskollektoraya-sensornaya-vlagozashchishchennaya-sistema/" TargetMode="External"/><Relationship Id="rId1" Type="http://schemas.openxmlformats.org/officeDocument/2006/relationships/hyperlink" Target="https://www.all4rc.ru/catalog/beskollektornyye_sistemy/hobbywing-ezrun-max5-hv-g2-56118sd-650kv-beskollektoraya-sensornaya-vlagozashchishchennaya-sistema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ccopter.ru/product/priemnik-radiomaster-rp1-v2-nano-express-lrs?srsltid=AfmBOorH2_83bJJ0IKgmRtPu3DMOv-xeK9lNgDCmHjw4KoVLGwihxipM" TargetMode="External"/><Relationship Id="rId4" Type="http://schemas.openxmlformats.org/officeDocument/2006/relationships/hyperlink" Target="https://aliexpress.ru/item/1005008283349939.html?sku_id=12000044475739150&amp;spm=a2g2w.productlist.search_results.5.40c23dd2cEiC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37.3984375" style="1" customWidth="1"/>
    <col min="2" max="2" width="67.3984375" style="1" customWidth="1"/>
    <col min="3" max="3" width="18.296875" style="1" customWidth="1"/>
    <col min="4" max="4" width="18.09765625" customWidth="1"/>
    <col min="5" max="5" width="18" style="1" customWidth="1"/>
    <col min="6" max="6" width="18.09765625" style="1" customWidth="1"/>
    <col min="7" max="7" width="18.69921875" style="1" customWidth="1"/>
    <col min="8" max="8" width="14.09765625" style="1" customWidth="1"/>
    <col min="9" max="9" width="25.59765625" customWidth="1"/>
  </cols>
  <sheetData>
    <row r="1" spans="1:9" x14ac:dyDescent="0.3">
      <c r="B1" s="1" t="s">
        <v>1</v>
      </c>
      <c r="C1" s="1" t="s">
        <v>2</v>
      </c>
      <c r="D1" s="1" t="s">
        <v>3</v>
      </c>
      <c r="E1" s="1" t="s">
        <v>10</v>
      </c>
      <c r="F1" s="1" t="s">
        <v>9</v>
      </c>
      <c r="G1" s="1" t="s">
        <v>5</v>
      </c>
      <c r="H1" s="1" t="s">
        <v>4</v>
      </c>
      <c r="I1" s="1" t="s">
        <v>16</v>
      </c>
    </row>
    <row r="2" spans="1:9" x14ac:dyDescent="0.3">
      <c r="A2" s="1" t="s">
        <v>7</v>
      </c>
      <c r="B2" s="1" t="s">
        <v>8</v>
      </c>
      <c r="C2" s="1">
        <v>4</v>
      </c>
      <c r="D2" s="1">
        <v>42000</v>
      </c>
      <c r="E2" s="1">
        <v>1750</v>
      </c>
      <c r="F2" s="3">
        <f>C2*E2/1000</f>
        <v>7</v>
      </c>
      <c r="G2" s="1">
        <f t="shared" ref="G2" si="0">D2*C2</f>
        <v>168000</v>
      </c>
      <c r="H2" s="2" t="s">
        <v>12</v>
      </c>
      <c r="I2" s="4"/>
    </row>
    <row r="3" spans="1:9" x14ac:dyDescent="0.3">
      <c r="A3" s="1" t="s">
        <v>6</v>
      </c>
      <c r="B3" s="1" t="s">
        <v>11</v>
      </c>
      <c r="C3" s="1">
        <v>2</v>
      </c>
      <c r="D3" s="1">
        <v>63500</v>
      </c>
      <c r="E3" s="1">
        <v>2800</v>
      </c>
      <c r="F3" s="3">
        <f t="shared" ref="F3:F10" si="1">C3*E3/1000</f>
        <v>5.6</v>
      </c>
      <c r="G3" s="1">
        <f>D3*C3</f>
        <v>127000</v>
      </c>
      <c r="H3" s="2" t="s">
        <v>12</v>
      </c>
      <c r="I3" s="4"/>
    </row>
    <row r="4" spans="1:9" x14ac:dyDescent="0.3">
      <c r="A4" s="1" t="s">
        <v>0</v>
      </c>
      <c r="B4" s="1" t="s">
        <v>18</v>
      </c>
      <c r="C4" s="1">
        <v>3</v>
      </c>
      <c r="D4" s="1">
        <v>2750</v>
      </c>
      <c r="E4" s="1">
        <v>2.2000000000000002</v>
      </c>
      <c r="F4" s="1">
        <f>C4*E4/1000</f>
        <v>6.6000000000000008E-3</v>
      </c>
      <c r="G4" s="1">
        <f>D4*C4</f>
        <v>8250</v>
      </c>
      <c r="H4" s="2" t="s">
        <v>12</v>
      </c>
      <c r="I4" s="4"/>
    </row>
    <row r="5" spans="1:9" x14ac:dyDescent="0.3">
      <c r="A5" s="1" t="s">
        <v>19</v>
      </c>
      <c r="B5" s="1" t="s">
        <v>17</v>
      </c>
      <c r="C5" s="1">
        <v>1</v>
      </c>
      <c r="D5" s="1">
        <v>20000</v>
      </c>
      <c r="E5" s="1">
        <v>0</v>
      </c>
      <c r="F5" s="1">
        <f>C5*E5/1000</f>
        <v>0</v>
      </c>
      <c r="G5" s="1">
        <f>D5*C5</f>
        <v>20000</v>
      </c>
      <c r="H5" s="2" t="s">
        <v>12</v>
      </c>
      <c r="I5" s="4"/>
    </row>
    <row r="6" spans="1:9" x14ac:dyDescent="0.3">
      <c r="A6" s="1" t="s">
        <v>20</v>
      </c>
      <c r="B6" s="1" t="s">
        <v>13</v>
      </c>
      <c r="C6" s="1">
        <v>1</v>
      </c>
      <c r="D6" s="1">
        <v>80000</v>
      </c>
      <c r="E6" s="1">
        <v>0</v>
      </c>
      <c r="F6" s="1">
        <f>C6*E6/1000</f>
        <v>0</v>
      </c>
      <c r="G6" s="1">
        <f t="shared" ref="G6" si="2">D6*C6</f>
        <v>80000</v>
      </c>
      <c r="H6" s="2" t="s">
        <v>12</v>
      </c>
      <c r="I6" s="4"/>
    </row>
    <row r="7" spans="1:9" x14ac:dyDescent="0.3">
      <c r="D7" s="1"/>
      <c r="F7" s="1" t="s">
        <v>14</v>
      </c>
      <c r="G7" s="1" t="s">
        <v>15</v>
      </c>
      <c r="I7" s="4"/>
    </row>
    <row r="8" spans="1:9" x14ac:dyDescent="0.3">
      <c r="F8" s="3">
        <f>SUM(F2:F6)</f>
        <v>12.6066</v>
      </c>
      <c r="G8" s="1">
        <f>SUM(G2:G6)</f>
        <v>403250</v>
      </c>
      <c r="I8" s="4"/>
    </row>
    <row r="9" spans="1:9" x14ac:dyDescent="0.3">
      <c r="I9" s="4"/>
    </row>
    <row r="10" spans="1:9" x14ac:dyDescent="0.3">
      <c r="I10" s="4"/>
    </row>
    <row r="11" spans="1:9" x14ac:dyDescent="0.3">
      <c r="D11" s="1"/>
    </row>
  </sheetData>
  <hyperlinks>
    <hyperlink ref="H2" r:id="rId1" xr:uid="{ED112093-5EE6-4CF2-83CB-B26017BF5998}"/>
    <hyperlink ref="H3" r:id="rId2" xr:uid="{4556990F-7CC9-424D-BDCC-CFB4A8311E70}"/>
    <hyperlink ref="H5" r:id="rId3" xr:uid="{B9BDD22B-89D5-4A04-907B-F4B97FC79D3A}"/>
    <hyperlink ref="H6" r:id="rId4" xr:uid="{0D367BC3-86AF-49E2-9E5B-0218D76B8696}"/>
    <hyperlink ref="H4" r:id="rId5" xr:uid="{478D5DEB-76F6-4531-B084-0D8170A6EE09}"/>
  </hyperlinks>
  <pageMargins left="0.7" right="0.7" top="0.75" bottom="0.75" header="0.3" footer="0.3"/>
  <pageSetup paperSize="9" orientation="portrait" horizontalDpi="1200" verticalDpi="1200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39196F-BC1C-4B8C-8393-475FD4654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Тимофей Тишкин</cp:lastModifiedBy>
  <dcterms:created xsi:type="dcterms:W3CDTF">2015-06-05T18:19:34Z</dcterms:created>
  <dcterms:modified xsi:type="dcterms:W3CDTF">2025-04-24T19:59:51Z</dcterms:modified>
</cp:coreProperties>
</file>